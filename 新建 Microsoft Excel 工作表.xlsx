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4B25EFE-088B-449B-BA7C-3C79AE50363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0" i="1" l="1"/>
</calcChain>
</file>

<file path=xl/sharedStrings.xml><?xml version="1.0" encoding="utf-8"?>
<sst xmlns="http://schemas.openxmlformats.org/spreadsheetml/2006/main" count="126" uniqueCount="65">
  <si>
    <t>序号</t>
  </si>
  <si>
    <t>产量</t>
    <phoneticPr fontId="4" type="noConversion"/>
  </si>
  <si>
    <t>投产日期</t>
    <phoneticPr fontId="4" type="noConversion"/>
  </si>
  <si>
    <t>完成日期</t>
    <phoneticPr fontId="4" type="noConversion"/>
  </si>
  <si>
    <t>代号</t>
  </si>
  <si>
    <t>名称</t>
    <phoneticPr fontId="4" type="noConversion"/>
  </si>
  <si>
    <t>台量</t>
    <phoneticPr fontId="4" type="noConversion"/>
  </si>
  <si>
    <t>材料</t>
    <phoneticPr fontId="4" type="noConversion"/>
  </si>
  <si>
    <t>代用前材料</t>
    <phoneticPr fontId="4" type="noConversion"/>
  </si>
  <si>
    <t>工序</t>
    <phoneticPr fontId="4" type="noConversion"/>
  </si>
  <si>
    <t>工时</t>
    <phoneticPr fontId="4" type="noConversion"/>
  </si>
  <si>
    <t>属性</t>
    <phoneticPr fontId="4" type="noConversion"/>
  </si>
  <si>
    <t>转外备注</t>
    <phoneticPr fontId="4" type="noConversion"/>
  </si>
  <si>
    <t>外协完工日期</t>
    <phoneticPr fontId="4" type="noConversion"/>
  </si>
  <si>
    <t>总重</t>
    <phoneticPr fontId="4" type="noConversion"/>
  </si>
  <si>
    <t>单件下料尺寸</t>
    <phoneticPr fontId="4" type="noConversion"/>
  </si>
  <si>
    <t>单件重</t>
    <phoneticPr fontId="4" type="noConversion"/>
  </si>
  <si>
    <r>
      <t>转序</t>
    </r>
    <r>
      <rPr>
        <sz val="10"/>
        <rFont val="Times New Roman"/>
        <family val="1"/>
      </rPr>
      <t>1</t>
    </r>
    <phoneticPr fontId="4" type="noConversion"/>
  </si>
  <si>
    <r>
      <t>转序</t>
    </r>
    <r>
      <rPr>
        <sz val="10"/>
        <rFont val="Times New Roman"/>
        <family val="1"/>
      </rPr>
      <t>2</t>
    </r>
    <r>
      <rPr>
        <sz val="12"/>
        <rFont val="宋体"/>
        <family val="3"/>
        <charset val="134"/>
      </rPr>
      <t/>
    </r>
  </si>
  <si>
    <r>
      <t>转序</t>
    </r>
    <r>
      <rPr>
        <sz val="10"/>
        <rFont val="Times New Roman"/>
        <family val="1"/>
      </rPr>
      <t>3</t>
    </r>
    <r>
      <rPr>
        <sz val="12"/>
        <rFont val="宋体"/>
        <family val="3"/>
        <charset val="134"/>
      </rPr>
      <t/>
    </r>
  </si>
  <si>
    <t>生产备注</t>
    <phoneticPr fontId="4" type="noConversion"/>
  </si>
  <si>
    <t>工艺备注</t>
    <phoneticPr fontId="4" type="noConversion"/>
  </si>
  <si>
    <t>所属产品</t>
    <phoneticPr fontId="4" type="noConversion"/>
  </si>
  <si>
    <t>批次</t>
    <phoneticPr fontId="4" type="noConversion"/>
  </si>
  <si>
    <t>产品代码</t>
    <phoneticPr fontId="4" type="noConversion"/>
  </si>
  <si>
    <t>批次号</t>
    <phoneticPr fontId="4" type="noConversion"/>
  </si>
  <si>
    <t>3809-020103</t>
  </si>
  <si>
    <t>中间轴</t>
  </si>
  <si>
    <t>用3809-022103改制</t>
    <phoneticPr fontId="4" type="noConversion"/>
  </si>
  <si>
    <t>车</t>
  </si>
  <si>
    <t>钻φ4孔</t>
    <phoneticPr fontId="4" type="noConversion"/>
  </si>
  <si>
    <t>按蓝图加工</t>
  </si>
  <si>
    <t>1+1+2</t>
    <phoneticPr fontId="4" type="noConversion"/>
  </si>
  <si>
    <t>2335C-010100</t>
    <phoneticPr fontId="4" type="noConversion"/>
  </si>
  <si>
    <t>骨架焊合</t>
  </si>
  <si>
    <t>喷砂</t>
  </si>
  <si>
    <t>喷铝</t>
  </si>
  <si>
    <t>磨铝面</t>
  </si>
  <si>
    <t>喷底漆</t>
  </si>
  <si>
    <t>2335C</t>
    <phoneticPr fontId="4" type="noConversion"/>
  </si>
  <si>
    <t>1 /25</t>
    <phoneticPr fontId="4" type="noConversion"/>
  </si>
  <si>
    <t>2 /25</t>
    <phoneticPr fontId="4" type="noConversion"/>
  </si>
  <si>
    <t>GZ-3960Ⅱ-010701</t>
  </si>
  <si>
    <t>焊接板</t>
  </si>
  <si>
    <t>钢板t12/Q550D</t>
  </si>
  <si>
    <t>激光作业</t>
  </si>
  <si>
    <t>激光拾件</t>
  </si>
  <si>
    <t>430×380</t>
  </si>
  <si>
    <t>3960I</t>
    <phoneticPr fontId="4" type="noConversion"/>
  </si>
  <si>
    <t>2335C-020101</t>
  </si>
  <si>
    <t>弯板</t>
  </si>
  <si>
    <t>钢板t2/304</t>
  </si>
  <si>
    <t>倒钝</t>
  </si>
  <si>
    <t>折弯</t>
  </si>
  <si>
    <t>焊接</t>
  </si>
  <si>
    <t>打磨</t>
  </si>
  <si>
    <t>工艺附图</t>
  </si>
  <si>
    <t>2335B</t>
  </si>
  <si>
    <t>2335C-100101</t>
  </si>
  <si>
    <t>门板</t>
  </si>
  <si>
    <t>2335C-110101</t>
  </si>
  <si>
    <t>2335C-1201</t>
  </si>
  <si>
    <t>铝板t2/3A21</t>
  </si>
  <si>
    <t>划线钻</t>
  </si>
  <si>
    <t>喷漆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</si>
</sst>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8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Times New Roman"/>
      <family val="1"/>
    </font>
    <font>
      <sz val="1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7">
    <xf numFmtId="0" fontId="0" fillId="0" borderId="0" xfId="0"/>
    <xf numFmtId="0" fontId="2" fillId="0" borderId="1" xfId="1" applyFont="1" applyFill="1" applyBorder="1" applyAlignment="1">
      <alignment horizontal="center" vertical="top" wrapText="1" shrinkToFit="1"/>
    </xf>
    <xf numFmtId="0" fontId="2" fillId="0" borderId="1" xfId="0" applyFont="1" applyFill="1" applyBorder="1" applyAlignment="1">
      <alignment horizontal="center" vertical="top" wrapText="1" shrinkToFit="1"/>
    </xf>
    <xf numFmtId="58" fontId="2" fillId="0" borderId="1" xfId="0" applyNumberFormat="1" applyFont="1" applyFill="1" applyBorder="1" applyAlignment="1">
      <alignment vertical="top" wrapText="1" shrinkToFit="1"/>
    </xf>
    <xf numFmtId="0" fontId="5" fillId="0" borderId="1" xfId="1" applyFont="1" applyFill="1" applyBorder="1" applyAlignment="1">
      <alignment horizontal="left" vertical="top" wrapText="1" shrinkToFit="1"/>
    </xf>
    <xf numFmtId="0" fontId="2" fillId="0" borderId="1" xfId="1" applyFont="1" applyFill="1" applyBorder="1" applyAlignment="1">
      <alignment vertical="top" wrapText="1" shrinkToFit="1"/>
    </xf>
    <xf numFmtId="0" fontId="2" fillId="0" borderId="1" xfId="1" applyNumberFormat="1" applyFont="1" applyFill="1" applyBorder="1" applyAlignment="1">
      <alignment horizontal="center" vertical="top" wrapText="1" shrinkToFit="1"/>
    </xf>
    <xf numFmtId="0" fontId="2" fillId="0" borderId="1" xfId="1" applyFont="1" applyFill="1" applyBorder="1" applyAlignment="1">
      <alignment horizontal="left" vertical="top" wrapText="1" shrinkToFit="1"/>
    </xf>
    <xf numFmtId="0" fontId="2" fillId="0" borderId="1" xfId="0" applyNumberFormat="1" applyFont="1" applyFill="1" applyBorder="1" applyAlignment="1">
      <alignment horizontal="center" vertical="top" wrapText="1" shrinkToFit="1"/>
    </xf>
    <xf numFmtId="0" fontId="2" fillId="0" borderId="2" xfId="1" applyNumberFormat="1" applyFont="1" applyFill="1" applyBorder="1" applyAlignment="1">
      <alignment horizontal="center" vertical="top" wrapText="1" shrinkToFit="1"/>
    </xf>
    <xf numFmtId="0" fontId="2" fillId="2" borderId="1" xfId="1" applyNumberFormat="1" applyFont="1" applyFill="1" applyBorder="1" applyAlignment="1">
      <alignment horizontal="center" vertical="top" wrapText="1" shrinkToFit="1"/>
    </xf>
    <xf numFmtId="176" fontId="2" fillId="0" borderId="1" xfId="0" applyNumberFormat="1" applyFont="1" applyFill="1" applyBorder="1" applyAlignment="1">
      <alignment horizontal="center" vertical="top" wrapText="1" shrinkToFit="1"/>
    </xf>
    <xf numFmtId="176" fontId="2" fillId="3" borderId="1" xfId="0" applyNumberFormat="1" applyFont="1" applyFill="1" applyBorder="1" applyAlignment="1">
      <alignment horizontal="center" vertical="top" wrapText="1" shrinkToFit="1"/>
    </xf>
    <xf numFmtId="0" fontId="2" fillId="4" borderId="1" xfId="0" applyNumberFormat="1" applyFont="1" applyFill="1" applyBorder="1" applyAlignment="1">
      <alignment horizontal="center" vertical="top" wrapText="1" shrinkToFit="1"/>
    </xf>
    <xf numFmtId="0" fontId="2" fillId="0" borderId="1" xfId="0" applyFont="1" applyFill="1" applyBorder="1" applyAlignment="1" applyProtection="1">
      <alignment horizontal="center" vertical="top" wrapText="1" shrinkToFit="1"/>
    </xf>
    <xf numFmtId="58" fontId="2" fillId="5" borderId="1" xfId="0" applyNumberFormat="1" applyFont="1" applyFill="1" applyBorder="1" applyAlignment="1" applyProtection="1">
      <alignment horizontal="center" vertical="top" wrapText="1" shrinkToFit="1"/>
    </xf>
    <xf numFmtId="58" fontId="2" fillId="0" borderId="1" xfId="0" applyNumberFormat="1" applyFont="1" applyFill="1" applyBorder="1" applyAlignment="1" applyProtection="1">
      <alignment horizontal="center" vertical="top" shrinkToFit="1"/>
    </xf>
    <xf numFmtId="0" fontId="2" fillId="0" borderId="1" xfId="0" applyFont="1" applyFill="1" applyBorder="1" applyAlignment="1">
      <alignment vertical="top" shrinkToFit="1"/>
    </xf>
    <xf numFmtId="0" fontId="2" fillId="0" borderId="2" xfId="0" applyFont="1" applyFill="1" applyBorder="1" applyAlignment="1">
      <alignment vertical="top" wrapText="1" shrinkToFit="1"/>
    </xf>
    <xf numFmtId="0" fontId="2" fillId="0" borderId="0" xfId="0" applyFont="1" applyFill="1" applyBorder="1" applyAlignment="1">
      <alignment vertical="top" wrapText="1" shrinkToFit="1"/>
    </xf>
    <xf numFmtId="0" fontId="2" fillId="0" borderId="0" xfId="0" applyFont="1" applyFill="1" applyBorder="1" applyAlignment="1">
      <alignment horizontal="center" shrinkToFit="1"/>
    </xf>
    <xf numFmtId="0" fontId="2" fillId="0" borderId="1" xfId="0" applyFont="1" applyFill="1" applyBorder="1" applyAlignment="1">
      <alignment horizontal="center" shrinkToFit="1"/>
    </xf>
    <xf numFmtId="58" fontId="2" fillId="0" borderId="1" xfId="0" applyNumberFormat="1" applyFont="1" applyFill="1" applyBorder="1" applyAlignment="1">
      <alignment shrinkToFit="1"/>
    </xf>
    <xf numFmtId="0" fontId="5" fillId="0" borderId="1" xfId="0" applyFont="1" applyFill="1" applyBorder="1" applyAlignment="1">
      <alignment horizontal="left" shrinkToFit="1"/>
    </xf>
    <xf numFmtId="0" fontId="2" fillId="0" borderId="1" xfId="0" applyFont="1" applyFill="1" applyBorder="1" applyAlignment="1">
      <alignment shrinkToFit="1"/>
    </xf>
    <xf numFmtId="0" fontId="2" fillId="0" borderId="1" xfId="0" applyNumberFormat="1" applyFont="1" applyFill="1" applyBorder="1" applyAlignment="1">
      <alignment horizontal="center" shrinkToFit="1"/>
    </xf>
    <xf numFmtId="0" fontId="2" fillId="0" borderId="1" xfId="0" applyFont="1" applyFill="1" applyBorder="1" applyAlignment="1">
      <alignment horizontal="left" shrinkToFit="1"/>
    </xf>
    <xf numFmtId="0" fontId="2" fillId="0" borderId="1" xfId="0" applyNumberFormat="1" applyFont="1" applyFill="1" applyBorder="1" applyAlignment="1">
      <alignment shrinkToFit="1"/>
    </xf>
    <xf numFmtId="0" fontId="2" fillId="2" borderId="2" xfId="0" applyNumberFormat="1" applyFont="1" applyFill="1" applyBorder="1" applyAlignment="1">
      <alignment shrinkToFit="1"/>
    </xf>
    <xf numFmtId="176" fontId="2" fillId="3" borderId="1" xfId="0" applyNumberFormat="1" applyFont="1" applyFill="1" applyBorder="1" applyAlignment="1">
      <alignment shrinkToFit="1"/>
    </xf>
    <xf numFmtId="0" fontId="2" fillId="4" borderId="1" xfId="0" applyNumberFormat="1" applyFont="1" applyFill="1" applyBorder="1" applyAlignment="1">
      <alignment shrinkToFit="1"/>
    </xf>
    <xf numFmtId="176" fontId="2" fillId="0" borderId="1" xfId="0" applyNumberFormat="1" applyFont="1" applyFill="1" applyBorder="1" applyAlignment="1">
      <alignment shrinkToFit="1"/>
    </xf>
    <xf numFmtId="0" fontId="2" fillId="5" borderId="1" xfId="0" applyFont="1" applyFill="1" applyBorder="1" applyAlignment="1">
      <alignment shrinkToFit="1"/>
    </xf>
    <xf numFmtId="0" fontId="2" fillId="0" borderId="0" xfId="0" applyFont="1" applyFill="1" applyBorder="1" applyAlignment="1">
      <alignment shrinkToFit="1"/>
    </xf>
    <xf numFmtId="0" fontId="7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shrinkToFit="1"/>
    </xf>
    <xf numFmtId="0" fontId="2" fillId="2" borderId="0" xfId="0" applyNumberFormat="1" applyFont="1" applyFill="1" applyBorder="1" applyAlignment="1">
      <alignment shrinkToFit="1"/>
    </xf>
    <xf numFmtId="0" fontId="2" fillId="0" borderId="0" xfId="0" applyNumberFormat="1" applyFont="1" applyFill="1" applyBorder="1" applyAlignment="1">
      <alignment shrinkToFit="1"/>
    </xf>
    <xf numFmtId="176" fontId="2" fillId="3" borderId="0" xfId="0" applyNumberFormat="1" applyFont="1" applyFill="1" applyBorder="1" applyAlignment="1">
      <alignment shrinkToFit="1"/>
    </xf>
    <xf numFmtId="176" fontId="2" fillId="0" borderId="0" xfId="0" applyNumberFormat="1" applyFont="1" applyFill="1" applyBorder="1" applyAlignment="1">
      <alignment shrinkToFit="1"/>
    </xf>
    <xf numFmtId="0" fontId="2" fillId="5" borderId="0" xfId="0" applyFont="1" applyFill="1" applyBorder="1" applyAlignment="1">
      <alignment shrinkToFit="1"/>
    </xf>
    <xf numFmtId="58" fontId="2" fillId="0" borderId="3" xfId="0" applyNumberFormat="1" applyFont="1" applyFill="1" applyBorder="1" applyAlignment="1">
      <alignment shrinkToFit="1"/>
    </xf>
    <xf numFmtId="58" fontId="2" fillId="0" borderId="0" xfId="0" applyNumberFormat="1" applyFont="1" applyFill="1" applyBorder="1" applyAlignment="1">
      <alignment shrinkToFit="1"/>
    </xf>
    <xf numFmtId="0" fontId="5" fillId="0" borderId="0" xfId="0" applyFont="1" applyFill="1" applyBorder="1" applyAlignment="1">
      <alignment horizontal="left" shrinkToFit="1"/>
    </xf>
    <xf numFmtId="0" fontId="2" fillId="0" borderId="0" xfId="0" applyNumberFormat="1" applyFont="1" applyFill="1" applyBorder="1" applyAlignment="1">
      <alignment horizontal="center" shrinkToFit="1"/>
    </xf>
    <xf numFmtId="0" fontId="2" fillId="0" borderId="0" xfId="0" applyFont="1" applyFill="1" applyBorder="1" applyAlignment="1">
      <alignment horizontal="left" shrinkToFit="1"/>
    </xf>
    <xf numFmtId="0" fontId="2" fillId="4" borderId="0" xfId="0" applyNumberFormat="1" applyFont="1" applyFill="1" applyBorder="1" applyAlignment="1">
      <alignment shrinkToFit="1"/>
    </xf>
  </cellXfs>
  <cellStyles count="2">
    <cellStyle name="常规" xfId="0" builtinId="0"/>
    <cellStyle name="常规_Sheet1" xfId="1" xr:uid="{D621EC1C-CAB4-4E5A-B957-64D7993C1A33}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"/>
  <sheetViews>
    <sheetView tabSelected="1" workbookViewId="0">
      <selection sqref="A1:XFD10"/>
    </sheetView>
  </sheetViews>
  <sheetFormatPr defaultRowHeight="14.25" x14ac:dyDescent="0.2"/>
  <sheetData>
    <row r="1" spans="1:44" s="19" customFormat="1" ht="28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6" t="s">
        <v>9</v>
      </c>
      <c r="K1" s="2" t="s">
        <v>10</v>
      </c>
      <c r="L1" s="6" t="s">
        <v>9</v>
      </c>
      <c r="M1" s="8" t="s">
        <v>10</v>
      </c>
      <c r="N1" s="6" t="s">
        <v>9</v>
      </c>
      <c r="O1" s="8" t="s">
        <v>10</v>
      </c>
      <c r="P1" s="9" t="s">
        <v>9</v>
      </c>
      <c r="Q1" s="8" t="s">
        <v>10</v>
      </c>
      <c r="R1" s="6" t="s">
        <v>9</v>
      </c>
      <c r="S1" s="8" t="s">
        <v>10</v>
      </c>
      <c r="T1" s="6" t="s">
        <v>9</v>
      </c>
      <c r="U1" s="8" t="s">
        <v>10</v>
      </c>
      <c r="V1" s="6" t="s">
        <v>9</v>
      </c>
      <c r="W1" s="8" t="s">
        <v>10</v>
      </c>
      <c r="X1" s="10" t="s">
        <v>9</v>
      </c>
      <c r="Y1" s="8" t="s">
        <v>10</v>
      </c>
      <c r="Z1" s="6" t="s">
        <v>9</v>
      </c>
      <c r="AA1" s="8" t="s">
        <v>10</v>
      </c>
      <c r="AB1" s="9" t="s">
        <v>9</v>
      </c>
      <c r="AC1" s="8" t="s">
        <v>10</v>
      </c>
      <c r="AD1" s="6" t="s">
        <v>11</v>
      </c>
      <c r="AE1" s="11" t="s">
        <v>12</v>
      </c>
      <c r="AF1" s="11" t="s">
        <v>13</v>
      </c>
      <c r="AG1" s="12" t="s">
        <v>14</v>
      </c>
      <c r="AH1" s="13" t="s">
        <v>15</v>
      </c>
      <c r="AI1" s="11" t="s">
        <v>16</v>
      </c>
      <c r="AJ1" s="14" t="s">
        <v>17</v>
      </c>
      <c r="AK1" s="14" t="s">
        <v>18</v>
      </c>
      <c r="AL1" s="14" t="s">
        <v>19</v>
      </c>
      <c r="AM1" s="15" t="s">
        <v>20</v>
      </c>
      <c r="AN1" s="15" t="s">
        <v>21</v>
      </c>
      <c r="AO1" s="16" t="s">
        <v>22</v>
      </c>
      <c r="AP1" s="16" t="s">
        <v>23</v>
      </c>
      <c r="AQ1" s="17" t="s">
        <v>24</v>
      </c>
      <c r="AR1" s="18" t="s">
        <v>25</v>
      </c>
    </row>
    <row r="2" spans="1:44" s="33" customFormat="1" ht="15" customHeight="1" x14ac:dyDescent="0.15">
      <c r="A2" s="20">
        <v>1</v>
      </c>
      <c r="B2" s="21">
        <v>16</v>
      </c>
      <c r="C2" s="22">
        <v>45659</v>
      </c>
      <c r="D2" s="22"/>
      <c r="E2" s="23" t="s">
        <v>26</v>
      </c>
      <c r="F2" s="24" t="s">
        <v>27</v>
      </c>
      <c r="G2" s="25">
        <v>112</v>
      </c>
      <c r="H2" s="26" t="s">
        <v>28</v>
      </c>
      <c r="I2" s="26"/>
      <c r="J2" s="24" t="s">
        <v>29</v>
      </c>
      <c r="K2" s="24"/>
      <c r="L2" s="27" t="s">
        <v>30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  <c r="Y2" s="27"/>
      <c r="Z2" s="27"/>
      <c r="AA2" s="27"/>
      <c r="AB2" s="27"/>
      <c r="AC2" s="27"/>
      <c r="AD2" s="27"/>
      <c r="AE2" s="27"/>
      <c r="AF2" s="27"/>
      <c r="AG2" s="29"/>
      <c r="AH2" s="30"/>
      <c r="AI2" s="31"/>
      <c r="AJ2" s="24"/>
      <c r="AK2" s="24"/>
      <c r="AL2" s="24"/>
      <c r="AM2" s="32"/>
      <c r="AN2" s="32" t="s">
        <v>31</v>
      </c>
      <c r="AO2" s="21">
        <v>3809</v>
      </c>
      <c r="AP2" s="24" t="s">
        <v>32</v>
      </c>
      <c r="AQ2" s="24">
        <v>23067</v>
      </c>
      <c r="AR2" s="24"/>
    </row>
    <row r="3" spans="1:44" s="33" customFormat="1" ht="15" customHeight="1" x14ac:dyDescent="0.15">
      <c r="A3" s="20">
        <v>2</v>
      </c>
      <c r="B3" s="21">
        <v>1</v>
      </c>
      <c r="C3" s="22">
        <v>45659</v>
      </c>
      <c r="D3" s="22"/>
      <c r="E3" s="23" t="s">
        <v>33</v>
      </c>
      <c r="F3" s="34" t="s">
        <v>34</v>
      </c>
      <c r="G3" s="25"/>
      <c r="H3" s="26"/>
      <c r="I3" s="26"/>
      <c r="J3" s="24" t="s">
        <v>35</v>
      </c>
      <c r="K3" s="24">
        <v>194</v>
      </c>
      <c r="L3" s="24" t="s">
        <v>36</v>
      </c>
      <c r="M3" s="24">
        <v>1860</v>
      </c>
      <c r="N3" s="24" t="s">
        <v>37</v>
      </c>
      <c r="O3" s="24">
        <v>165</v>
      </c>
      <c r="P3" s="24" t="s">
        <v>38</v>
      </c>
      <c r="Q3" s="24">
        <v>280</v>
      </c>
      <c r="R3" s="27"/>
      <c r="S3" s="27"/>
      <c r="T3" s="27"/>
      <c r="U3" s="27"/>
      <c r="V3" s="27"/>
      <c r="W3" s="27"/>
      <c r="X3" s="28"/>
      <c r="Y3" s="27"/>
      <c r="Z3" s="27"/>
      <c r="AA3" s="27"/>
      <c r="AB3" s="27"/>
      <c r="AC3" s="27"/>
      <c r="AD3" s="27"/>
      <c r="AE3" s="27"/>
      <c r="AF3" s="27"/>
      <c r="AG3" s="29"/>
      <c r="AH3" s="30"/>
      <c r="AI3" s="31"/>
      <c r="AJ3" s="24"/>
      <c r="AK3" s="24"/>
      <c r="AL3" s="24"/>
      <c r="AM3" s="32"/>
      <c r="AN3" s="32"/>
      <c r="AO3" s="21" t="s">
        <v>39</v>
      </c>
      <c r="AP3" s="35" t="s">
        <v>40</v>
      </c>
      <c r="AQ3" s="24">
        <v>24058</v>
      </c>
      <c r="AR3" s="24"/>
    </row>
    <row r="4" spans="1:44" s="33" customFormat="1" ht="15" customHeight="1" x14ac:dyDescent="0.15">
      <c r="A4" s="20">
        <v>3</v>
      </c>
      <c r="B4" s="21">
        <v>1</v>
      </c>
      <c r="C4" s="22">
        <v>45659</v>
      </c>
      <c r="D4" s="22"/>
      <c r="E4" s="23" t="s">
        <v>33</v>
      </c>
      <c r="F4" s="34" t="s">
        <v>34</v>
      </c>
      <c r="G4" s="25"/>
      <c r="H4" s="26"/>
      <c r="I4" s="26"/>
      <c r="J4" s="24" t="s">
        <v>35</v>
      </c>
      <c r="K4" s="24">
        <v>194</v>
      </c>
      <c r="L4" s="24" t="s">
        <v>36</v>
      </c>
      <c r="M4" s="24">
        <v>1860</v>
      </c>
      <c r="N4" s="24" t="s">
        <v>37</v>
      </c>
      <c r="O4" s="24">
        <v>165</v>
      </c>
      <c r="P4" s="24" t="s">
        <v>38</v>
      </c>
      <c r="Q4" s="24">
        <v>280</v>
      </c>
      <c r="R4" s="27"/>
      <c r="S4" s="27"/>
      <c r="T4" s="27"/>
      <c r="U4" s="27"/>
      <c r="V4" s="27"/>
      <c r="W4" s="27"/>
      <c r="X4" s="28"/>
      <c r="Y4" s="27"/>
      <c r="Z4" s="27"/>
      <c r="AA4" s="27"/>
      <c r="AB4" s="27"/>
      <c r="AC4" s="27"/>
      <c r="AD4" s="27"/>
      <c r="AE4" s="27"/>
      <c r="AF4" s="27"/>
      <c r="AG4" s="29"/>
      <c r="AH4" s="30"/>
      <c r="AI4" s="31"/>
      <c r="AJ4" s="24"/>
      <c r="AK4" s="24"/>
      <c r="AL4" s="24"/>
      <c r="AM4" s="32"/>
      <c r="AN4" s="32"/>
      <c r="AO4" s="21" t="s">
        <v>39</v>
      </c>
      <c r="AP4" s="35" t="s">
        <v>41</v>
      </c>
      <c r="AQ4" s="24">
        <v>24058</v>
      </c>
      <c r="AR4" s="24"/>
    </row>
    <row r="5" spans="1:44" s="33" customFormat="1" ht="15" customHeight="1" x14ac:dyDescent="0.15">
      <c r="A5" s="20">
        <v>4</v>
      </c>
      <c r="B5" s="20">
        <v>12</v>
      </c>
      <c r="C5" s="22">
        <v>45659</v>
      </c>
      <c r="D5" s="22"/>
      <c r="E5" s="23" t="s">
        <v>42</v>
      </c>
      <c r="F5" s="24" t="s">
        <v>43</v>
      </c>
      <c r="G5" s="26">
        <v>12</v>
      </c>
      <c r="H5" s="24" t="s">
        <v>44</v>
      </c>
      <c r="I5" s="26"/>
      <c r="J5" s="27" t="s">
        <v>45</v>
      </c>
      <c r="K5" s="27">
        <v>1.5</v>
      </c>
      <c r="L5" s="27" t="s">
        <v>46</v>
      </c>
      <c r="M5" s="27">
        <v>0.5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36"/>
      <c r="Y5" s="37"/>
      <c r="Z5" s="37"/>
      <c r="AA5" s="37"/>
      <c r="AB5" s="37"/>
      <c r="AC5" s="37"/>
      <c r="AD5" s="37"/>
      <c r="AE5" s="37"/>
      <c r="AF5" s="37"/>
      <c r="AG5" s="38"/>
      <c r="AH5" s="37" t="s">
        <v>47</v>
      </c>
      <c r="AI5" s="39"/>
      <c r="AM5" s="40"/>
      <c r="AN5" s="40"/>
      <c r="AO5" s="20" t="s">
        <v>48</v>
      </c>
      <c r="AP5" s="33">
        <v>1</v>
      </c>
      <c r="AQ5" s="33">
        <v>24077</v>
      </c>
    </row>
    <row r="6" spans="1:44" s="33" customFormat="1" ht="15" customHeight="1" x14ac:dyDescent="0.15">
      <c r="A6" s="20">
        <v>5</v>
      </c>
      <c r="B6" s="20">
        <v>2</v>
      </c>
      <c r="C6" s="41">
        <v>45659</v>
      </c>
      <c r="D6" s="42"/>
      <c r="E6" s="43" t="s">
        <v>49</v>
      </c>
      <c r="F6" s="33" t="s">
        <v>50</v>
      </c>
      <c r="G6" s="44">
        <v>1</v>
      </c>
      <c r="H6" s="45" t="s">
        <v>51</v>
      </c>
      <c r="I6" s="45"/>
      <c r="J6" s="33" t="s">
        <v>45</v>
      </c>
      <c r="K6" s="45">
        <v>14.700000000000001</v>
      </c>
      <c r="L6" s="37" t="s">
        <v>46</v>
      </c>
      <c r="M6" s="45">
        <v>3.8</v>
      </c>
      <c r="N6" s="37" t="s">
        <v>52</v>
      </c>
      <c r="O6" s="45">
        <v>13.299999999999999</v>
      </c>
      <c r="P6" s="37" t="s">
        <v>53</v>
      </c>
      <c r="Q6" s="45">
        <v>27.52</v>
      </c>
      <c r="R6" s="37" t="s">
        <v>54</v>
      </c>
      <c r="S6" s="37">
        <v>10</v>
      </c>
      <c r="T6" s="37" t="s">
        <v>55</v>
      </c>
      <c r="U6" s="37">
        <v>6</v>
      </c>
      <c r="V6" s="37">
        <v>0</v>
      </c>
      <c r="W6" s="37">
        <v>0</v>
      </c>
      <c r="X6" s="36">
        <v>0</v>
      </c>
      <c r="Y6" s="37">
        <v>0</v>
      </c>
      <c r="Z6" s="37">
        <v>0</v>
      </c>
      <c r="AA6" s="37"/>
      <c r="AB6" s="37"/>
      <c r="AC6" s="37"/>
      <c r="AD6" s="37"/>
      <c r="AE6" s="37"/>
      <c r="AF6" s="37"/>
      <c r="AG6" s="38"/>
      <c r="AH6" s="46"/>
      <c r="AI6" s="39"/>
      <c r="AM6" s="40"/>
      <c r="AN6" s="40" t="s">
        <v>56</v>
      </c>
      <c r="AO6" s="20" t="s">
        <v>57</v>
      </c>
      <c r="AP6" s="33">
        <v>25</v>
      </c>
      <c r="AQ6" s="33">
        <v>24058</v>
      </c>
    </row>
    <row r="7" spans="1:44" s="33" customFormat="1" ht="15" customHeight="1" x14ac:dyDescent="0.15">
      <c r="A7" s="20">
        <v>6</v>
      </c>
      <c r="B7" s="20">
        <v>2</v>
      </c>
      <c r="C7" s="22">
        <v>45659</v>
      </c>
      <c r="D7" s="42"/>
      <c r="E7" s="43" t="s">
        <v>58</v>
      </c>
      <c r="F7" s="33" t="s">
        <v>59</v>
      </c>
      <c r="G7" s="44">
        <v>1</v>
      </c>
      <c r="H7" s="45" t="s">
        <v>51</v>
      </c>
      <c r="I7" s="45"/>
      <c r="J7" s="37" t="s">
        <v>45</v>
      </c>
      <c r="K7" s="45">
        <v>10.26</v>
      </c>
      <c r="L7" s="37" t="s">
        <v>46</v>
      </c>
      <c r="M7" s="45">
        <v>4.5599999999999996</v>
      </c>
      <c r="N7" s="37" t="s">
        <v>52</v>
      </c>
      <c r="O7" s="45">
        <v>9.5</v>
      </c>
      <c r="P7" s="37" t="s">
        <v>53</v>
      </c>
      <c r="Q7" s="45">
        <v>35</v>
      </c>
      <c r="R7" s="37" t="s">
        <v>54</v>
      </c>
      <c r="S7" s="37">
        <v>10</v>
      </c>
      <c r="T7" s="37" t="s">
        <v>55</v>
      </c>
      <c r="U7" s="37">
        <v>6</v>
      </c>
      <c r="V7" s="37"/>
      <c r="W7" s="37"/>
      <c r="X7" s="36"/>
      <c r="Y7" s="37"/>
      <c r="Z7" s="37">
        <v>0</v>
      </c>
      <c r="AA7" s="37"/>
      <c r="AB7" s="37"/>
      <c r="AC7" s="37"/>
      <c r="AD7" s="37"/>
      <c r="AE7" s="37"/>
      <c r="AF7" s="37"/>
      <c r="AG7" s="38"/>
      <c r="AH7" s="46"/>
      <c r="AI7" s="39"/>
      <c r="AM7" s="40"/>
      <c r="AN7" s="40" t="s">
        <v>56</v>
      </c>
      <c r="AO7" s="20" t="s">
        <v>57</v>
      </c>
      <c r="AP7" s="33">
        <v>25</v>
      </c>
      <c r="AQ7" s="33">
        <v>24058</v>
      </c>
    </row>
    <row r="8" spans="1:44" s="33" customFormat="1" ht="15" customHeight="1" x14ac:dyDescent="0.15">
      <c r="A8" s="20">
        <v>7</v>
      </c>
      <c r="B8" s="20">
        <v>2</v>
      </c>
      <c r="C8" s="22">
        <v>45659</v>
      </c>
      <c r="D8" s="42"/>
      <c r="E8" s="43" t="s">
        <v>60</v>
      </c>
      <c r="F8" s="33" t="s">
        <v>50</v>
      </c>
      <c r="G8" s="44">
        <v>1</v>
      </c>
      <c r="H8" s="45" t="s">
        <v>51</v>
      </c>
      <c r="I8" s="45"/>
      <c r="J8" s="33" t="s">
        <v>45</v>
      </c>
      <c r="K8" s="45">
        <v>12.950000000000001</v>
      </c>
      <c r="L8" s="37" t="s">
        <v>46</v>
      </c>
      <c r="M8" s="45">
        <v>3.8</v>
      </c>
      <c r="N8" s="37" t="s">
        <v>52</v>
      </c>
      <c r="O8" s="45">
        <v>12.950000000000001</v>
      </c>
      <c r="P8" s="37" t="s">
        <v>53</v>
      </c>
      <c r="Q8" s="45">
        <v>27.52</v>
      </c>
      <c r="R8" s="37" t="s">
        <v>54</v>
      </c>
      <c r="S8" s="37">
        <v>10</v>
      </c>
      <c r="T8" s="37" t="s">
        <v>55</v>
      </c>
      <c r="U8" s="37">
        <v>6</v>
      </c>
      <c r="V8" s="37">
        <v>0</v>
      </c>
      <c r="W8" s="37">
        <v>0</v>
      </c>
      <c r="X8" s="36">
        <v>0</v>
      </c>
      <c r="Y8" s="37">
        <v>0</v>
      </c>
      <c r="Z8" s="37">
        <v>0</v>
      </c>
      <c r="AA8" s="37"/>
      <c r="AB8" s="37"/>
      <c r="AC8" s="37"/>
      <c r="AD8" s="37"/>
      <c r="AE8" s="37"/>
      <c r="AF8" s="37"/>
      <c r="AG8" s="38"/>
      <c r="AH8" s="46"/>
      <c r="AI8" s="39"/>
      <c r="AM8" s="40"/>
      <c r="AN8" s="40" t="s">
        <v>56</v>
      </c>
      <c r="AO8" s="20" t="s">
        <v>57</v>
      </c>
      <c r="AP8" s="33">
        <v>25</v>
      </c>
      <c r="AQ8" s="33">
        <v>24058</v>
      </c>
    </row>
    <row r="9" spans="1:44" s="33" customFormat="1" ht="15" customHeight="1" x14ac:dyDescent="0.15">
      <c r="A9" s="20">
        <v>8</v>
      </c>
      <c r="B9" s="20">
        <v>2</v>
      </c>
      <c r="C9" s="22">
        <v>45659</v>
      </c>
      <c r="D9" s="42"/>
      <c r="E9" s="43" t="s">
        <v>61</v>
      </c>
      <c r="F9" s="33" t="s">
        <v>59</v>
      </c>
      <c r="G9" s="44">
        <v>1</v>
      </c>
      <c r="H9" s="45" t="s">
        <v>62</v>
      </c>
      <c r="I9" s="45"/>
      <c r="J9" s="33" t="s">
        <v>45</v>
      </c>
      <c r="K9" s="45">
        <v>11.200000000000001</v>
      </c>
      <c r="L9" s="37" t="s">
        <v>46</v>
      </c>
      <c r="M9" s="45">
        <v>3.8</v>
      </c>
      <c r="N9" s="37" t="s">
        <v>52</v>
      </c>
      <c r="O9" s="45">
        <v>7.6</v>
      </c>
      <c r="P9" s="37" t="s">
        <v>53</v>
      </c>
      <c r="Q9" s="45">
        <v>33.599999999999994</v>
      </c>
      <c r="R9" s="37" t="s">
        <v>63</v>
      </c>
      <c r="S9" s="37">
        <v>4</v>
      </c>
      <c r="T9" s="37" t="s">
        <v>54</v>
      </c>
      <c r="U9" s="37">
        <v>10</v>
      </c>
      <c r="V9" s="37" t="s">
        <v>55</v>
      </c>
      <c r="W9" s="37">
        <v>6</v>
      </c>
      <c r="X9" s="36" t="s">
        <v>35</v>
      </c>
      <c r="Y9" s="37">
        <v>5</v>
      </c>
      <c r="Z9" s="37" t="s">
        <v>64</v>
      </c>
      <c r="AA9" s="37">
        <v>14.5</v>
      </c>
      <c r="AB9" s="37"/>
      <c r="AC9" s="37"/>
      <c r="AD9" s="37"/>
      <c r="AE9" s="37"/>
      <c r="AF9" s="37"/>
      <c r="AG9" s="38"/>
      <c r="AH9" s="46"/>
      <c r="AI9" s="39"/>
      <c r="AM9" s="40"/>
      <c r="AN9" s="40"/>
      <c r="AO9" s="20" t="s">
        <v>57</v>
      </c>
      <c r="AP9" s="33">
        <v>25</v>
      </c>
      <c r="AQ9" s="33">
        <v>24058</v>
      </c>
    </row>
    <row r="10" spans="1:44" s="33" customFormat="1" ht="15" customHeight="1" x14ac:dyDescent="0.15">
      <c r="A10" s="20">
        <v>9</v>
      </c>
      <c r="B10" s="20">
        <v>2</v>
      </c>
      <c r="C10" s="22">
        <v>45659</v>
      </c>
      <c r="D10" s="42"/>
      <c r="E10" s="43" t="s">
        <v>61</v>
      </c>
      <c r="F10" s="33" t="s">
        <v>59</v>
      </c>
      <c r="G10" s="44">
        <v>1</v>
      </c>
      <c r="H10" s="45" t="s">
        <v>62</v>
      </c>
      <c r="I10" s="45"/>
      <c r="J10" s="33" t="s">
        <v>35</v>
      </c>
      <c r="K10" s="33">
        <v>5</v>
      </c>
      <c r="L10" s="37" t="s">
        <v>64</v>
      </c>
      <c r="M10" s="37">
        <v>14.5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6"/>
      <c r="Y10" s="37"/>
      <c r="Z10" s="37"/>
      <c r="AA10" s="37">
        <f>0.9*1.5</f>
        <v>1.35</v>
      </c>
      <c r="AB10" s="37"/>
      <c r="AC10" s="37"/>
      <c r="AD10" s="37"/>
      <c r="AE10" s="37"/>
      <c r="AF10" s="37"/>
      <c r="AG10" s="38"/>
      <c r="AH10" s="46"/>
      <c r="AI10" s="39"/>
      <c r="AM10" s="40"/>
      <c r="AN10" s="40"/>
      <c r="AO10" s="20" t="s">
        <v>57</v>
      </c>
      <c r="AP10" s="33">
        <v>25</v>
      </c>
      <c r="AQ10" s="33">
        <v>24058</v>
      </c>
    </row>
  </sheetData>
  <phoneticPr fontId="3" type="noConversion"/>
  <conditionalFormatting sqref="C1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2025-07-09T01:50:44Z</dcterms:modified>
</cp:coreProperties>
</file>